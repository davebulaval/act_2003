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David\Dropbox\Actuariat automne 2016\Modèle\Exercice\Chapitre 2\"/>
    </mc:Choice>
  </mc:AlternateContent>
  <bookViews>
    <workbookView xWindow="0" yWindow="0" windowWidth="28800" windowHeight="12210"/>
  </bookViews>
  <sheets>
    <sheet name="Sheet1" sheetId="1" r:id="rId1"/>
  </sheets>
  <definedNames>
    <definedName name="beta0">Sheet1!$G$10</definedName>
    <definedName name="beta1">Sheet1!$G$9</definedName>
    <definedName name="epsilone_2">Sheet1!$N$4:$N$13</definedName>
    <definedName name="n">Sheet1!$G$4</definedName>
    <definedName name="residut">Sheet1!$G$11</definedName>
    <definedName name="somm_xi_2">Sheet1!$G$7</definedName>
    <definedName name="somm_xi_yi">Sheet1!$G$8</definedName>
    <definedName name="somme_ssr">Sheet1!$G$12</definedName>
    <definedName name="SSR">Sheet1!$O$4:$O$13</definedName>
    <definedName name="xbarre">Sheet1!$G$5</definedName>
    <definedName name="xi_2">Sheet1!$J$4:$J$13</definedName>
    <definedName name="xi_yi">Sheet1!$K$4:$K$13</definedName>
    <definedName name="xt">Sheet1!$C$4:$C$13</definedName>
    <definedName name="y_t">Sheet1!$M$4:$M$13</definedName>
    <definedName name="ybarre">Sheet1!$G$6</definedName>
    <definedName name="yt">Sheet1!$D$4:$D$13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1" l="1"/>
  <c r="O4" i="1"/>
  <c r="G9" i="1"/>
  <c r="K5" i="1" l="1"/>
  <c r="K6" i="1"/>
  <c r="K7" i="1"/>
  <c r="K8" i="1"/>
  <c r="K9" i="1"/>
  <c r="K4" i="1"/>
  <c r="J4" i="1"/>
  <c r="J5" i="1"/>
  <c r="J6" i="1"/>
  <c r="J7" i="1"/>
  <c r="J8" i="1"/>
  <c r="J9" i="1"/>
  <c r="G6" i="1"/>
  <c r="G5" i="1"/>
  <c r="G7" i="1" l="1"/>
  <c r="G8" i="1"/>
  <c r="G10" i="1" s="1"/>
  <c r="M5" i="1" l="1"/>
  <c r="M9" i="1"/>
  <c r="M6" i="1"/>
  <c r="M4" i="1"/>
  <c r="N4" i="1" s="1"/>
  <c r="M8" i="1"/>
  <c r="M7" i="1"/>
  <c r="O7" i="1" l="1"/>
  <c r="N7" i="1"/>
  <c r="O6" i="1"/>
  <c r="N6" i="1"/>
  <c r="O8" i="1"/>
  <c r="N8" i="1"/>
  <c r="O9" i="1"/>
  <c r="N9" i="1"/>
  <c r="O5" i="1"/>
  <c r="N5" i="1"/>
  <c r="G12" i="1" l="1"/>
  <c r="G11" i="1"/>
</calcChain>
</file>

<file path=xl/sharedStrings.xml><?xml version="1.0" encoding="utf-8"?>
<sst xmlns="http://schemas.openxmlformats.org/spreadsheetml/2006/main" count="18" uniqueCount="18">
  <si>
    <t>t</t>
  </si>
  <si>
    <t>xt</t>
  </si>
  <si>
    <t>yt</t>
  </si>
  <si>
    <t>n</t>
  </si>
  <si>
    <t>xbarre</t>
  </si>
  <si>
    <t>ybarre</t>
  </si>
  <si>
    <t>xi^2</t>
  </si>
  <si>
    <t>somm xi^2</t>
  </si>
  <si>
    <t>xi*yi</t>
  </si>
  <si>
    <t>somm xi*yi</t>
  </si>
  <si>
    <t>beta1</t>
  </si>
  <si>
    <t>beta0</t>
  </si>
  <si>
    <t>y^t</t>
  </si>
  <si>
    <t>epsilone^2</t>
  </si>
  <si>
    <t>residut</t>
  </si>
  <si>
    <t>SSR</t>
  </si>
  <si>
    <t>somme ssr</t>
  </si>
  <si>
    <t>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</si>
</sst>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Sheet1!$C$4:$C$13</c:f>
              <c:numCache>
                <c:formatCode>General</c:formatCode>
                <c:ptCount val="10"/>
                <c:pt idx="0">
                  <c:v>90</c:v>
                </c:pt>
                <c:pt idx="1">
                  <c:v>86</c:v>
                </c:pt>
                <c:pt idx="2">
                  <c:v>67</c:v>
                </c:pt>
                <c:pt idx="3">
                  <c:v>89</c:v>
                </c:pt>
                <c:pt idx="4">
                  <c:v>81</c:v>
                </c:pt>
                <c:pt idx="5">
                  <c:v>75</c:v>
                </c:pt>
              </c:numCache>
            </c:numRef>
          </c:xVal>
          <c:yVal>
            <c:numRef>
              <c:f>Sheet1!$D$4:$D$13</c:f>
              <c:numCache>
                <c:formatCode>General</c:formatCode>
                <c:ptCount val="10"/>
                <c:pt idx="0">
                  <c:v>62</c:v>
                </c:pt>
                <c:pt idx="1">
                  <c:v>45</c:v>
                </c:pt>
                <c:pt idx="2">
                  <c:v>40</c:v>
                </c:pt>
                <c:pt idx="3">
                  <c:v>55</c:v>
                </c:pt>
                <c:pt idx="4">
                  <c:v>64</c:v>
                </c:pt>
                <c:pt idx="5">
                  <c:v>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25-4F36-B3FA-E6693F848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539256"/>
        <c:axId val="388537944"/>
      </c:scatterChart>
      <c:valAx>
        <c:axId val="388539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8537944"/>
        <c:crosses val="autoZero"/>
        <c:crossBetween val="midCat"/>
      </c:valAx>
      <c:valAx>
        <c:axId val="388537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8539256"/>
        <c:crosses val="autoZero"/>
        <c:crossBetween val="midCat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476249</xdr:colOff>
      <xdr:row>19</xdr:row>
      <xdr:rowOff>114299</xdr:rowOff>
    </xdr:from>
    <xdr:to>
      <xdr:col>15</xdr:col>
      <xdr:colOff>200024</xdr:colOff>
      <xdr:row>37</xdr:row>
      <xdr:rowOff>28574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13"/>
  <sheetViews>
    <sheetView tabSelected="1" workbookViewId="0">
      <selection activeCell="N4" sqref="N4"/>
    </sheetView>
  </sheetViews>
  <sheetFormatPr defaultRowHeight="15" x14ac:dyDescent="0.25"/>
  <cols>
    <col min="6" max="6" width="11" bestFit="1" customWidth="1"/>
    <col min="7" max="7" width="16.5703125" customWidth="1"/>
    <col min="13" max="13" width="15.85546875" customWidth="1"/>
    <col min="14" max="14" width="22.140625" customWidth="1"/>
  </cols>
  <sheetData>
    <row r="3" spans="2:15" x14ac:dyDescent="0.25">
      <c r="B3" t="s">
        <v>0</v>
      </c>
      <c r="C3" t="s">
        <v>1</v>
      </c>
      <c r="D3" t="s">
        <v>2</v>
      </c>
      <c r="J3" t="s">
        <v>6</v>
      </c>
      <c r="K3" t="s">
        <v>8</v>
      </c>
      <c r="M3" t="s">
        <v>12</v>
      </c>
      <c r="N3" t="s">
        <v>13</v>
      </c>
      <c r="O3" t="s">
        <v>15</v>
      </c>
    </row>
    <row r="4" spans="2:15" x14ac:dyDescent="0.25">
      <c r="B4">
        <v>1</v>
      </c>
      <c r="C4">
        <v>90</v>
      </c>
      <c r="D4">
        <v>62</v>
      </c>
      <c r="F4" t="s">
        <v>3</v>
      </c>
      <c r="G4">
        <v>6</v>
      </c>
      <c r="J4">
        <f t="shared" ref="J4:J13" si="0">xt^2</f>
        <v>8100</v>
      </c>
      <c r="K4">
        <f t="shared" ref="K4:K13" si="1">xt*yt</f>
        <v>5580</v>
      </c>
      <c r="M4">
        <f t="shared" ref="M4:M13" si="2">beta0+beta1*xt</f>
        <v>58.320598006644516</v>
      </c>
      <c r="N4">
        <f>(yt-y_t)^2</f>
        <v>13.537999028708306</v>
      </c>
      <c r="O4">
        <f>(y_t-ybarre)^2</f>
        <v>26.563008257205897</v>
      </c>
    </row>
    <row r="5" spans="2:15" x14ac:dyDescent="0.25">
      <c r="B5">
        <v>2</v>
      </c>
      <c r="C5">
        <v>86</v>
      </c>
      <c r="D5">
        <v>45</v>
      </c>
      <c r="F5" t="s">
        <v>4</v>
      </c>
      <c r="G5">
        <f>SUM(xt)/n</f>
        <v>81.333333333333329</v>
      </c>
      <c r="J5">
        <f t="shared" si="0"/>
        <v>7396</v>
      </c>
      <c r="K5">
        <f t="shared" si="1"/>
        <v>3870</v>
      </c>
      <c r="M5">
        <f t="shared" si="2"/>
        <v>55.941860465116278</v>
      </c>
      <c r="N5">
        <f t="shared" ref="N5:N13" si="3">(yt-y_t)^2</f>
        <v>119.72431043807461</v>
      </c>
      <c r="O5">
        <f t="shared" ref="O4:O13" si="4">(y_t-ybarre)^2</f>
        <v>7.7017006189531951</v>
      </c>
    </row>
    <row r="6" spans="2:15" x14ac:dyDescent="0.25">
      <c r="B6">
        <v>3</v>
      </c>
      <c r="C6">
        <v>67</v>
      </c>
      <c r="D6">
        <v>40</v>
      </c>
      <c r="F6" t="s">
        <v>5</v>
      </c>
      <c r="G6">
        <f>SUM(yt)/n</f>
        <v>53.166666666666664</v>
      </c>
      <c r="J6">
        <f t="shared" si="0"/>
        <v>4489</v>
      </c>
      <c r="K6">
        <f t="shared" si="1"/>
        <v>2680</v>
      </c>
      <c r="M6">
        <f t="shared" si="2"/>
        <v>44.642857142857153</v>
      </c>
      <c r="N6">
        <f t="shared" si="3"/>
        <v>21.556122448979686</v>
      </c>
      <c r="O6">
        <f t="shared" si="4"/>
        <v>72.655328798185721</v>
      </c>
    </row>
    <row r="7" spans="2:15" x14ac:dyDescent="0.25">
      <c r="B7">
        <v>4</v>
      </c>
      <c r="C7">
        <v>89</v>
      </c>
      <c r="D7">
        <v>55</v>
      </c>
      <c r="F7" t="s">
        <v>7</v>
      </c>
      <c r="G7">
        <f>SUM(xi_2)</f>
        <v>40092</v>
      </c>
      <c r="J7">
        <f t="shared" si="0"/>
        <v>7921</v>
      </c>
      <c r="K7">
        <f t="shared" si="1"/>
        <v>4895</v>
      </c>
      <c r="M7">
        <f t="shared" si="2"/>
        <v>57.725913621262457</v>
      </c>
      <c r="N7">
        <f t="shared" si="3"/>
        <v>7.4306050705842006</v>
      </c>
      <c r="O7">
        <f t="shared" si="4"/>
        <v>20.78673279299101</v>
      </c>
    </row>
    <row r="8" spans="2:15" x14ac:dyDescent="0.25">
      <c r="B8">
        <v>5</v>
      </c>
      <c r="C8">
        <v>81</v>
      </c>
      <c r="D8">
        <v>64</v>
      </c>
      <c r="F8" t="s">
        <v>9</v>
      </c>
      <c r="G8">
        <f>SUM(xi_yi)</f>
        <v>26184</v>
      </c>
      <c r="J8">
        <f t="shared" si="0"/>
        <v>6561</v>
      </c>
      <c r="K8">
        <f t="shared" si="1"/>
        <v>5184</v>
      </c>
      <c r="M8">
        <f t="shared" si="2"/>
        <v>52.96843853820598</v>
      </c>
      <c r="N8">
        <f t="shared" si="3"/>
        <v>121.69534828533901</v>
      </c>
      <c r="O8">
        <f t="shared" si="4"/>
        <v>3.9294390913025501E-2</v>
      </c>
    </row>
    <row r="9" spans="2:15" x14ac:dyDescent="0.25">
      <c r="B9">
        <v>6</v>
      </c>
      <c r="C9">
        <v>75</v>
      </c>
      <c r="D9">
        <v>53</v>
      </c>
      <c r="F9" t="s">
        <v>10</v>
      </c>
      <c r="G9">
        <f>(somm_xi_yi-n*xbarre*ybarre) / (somm_xi_2 -n *xbarre^2)</f>
        <v>0.59468438538205926</v>
      </c>
      <c r="J9">
        <f t="shared" si="0"/>
        <v>5625</v>
      </c>
      <c r="K9">
        <f t="shared" si="1"/>
        <v>3975</v>
      </c>
      <c r="M9">
        <f t="shared" si="2"/>
        <v>49.400332225913623</v>
      </c>
      <c r="N9">
        <f t="shared" si="3"/>
        <v>12.957608083795975</v>
      </c>
      <c r="O9">
        <f t="shared" si="4"/>
        <v>14.185275119602528</v>
      </c>
    </row>
    <row r="10" spans="2:15" x14ac:dyDescent="0.25">
      <c r="F10" t="s">
        <v>11</v>
      </c>
      <c r="G10">
        <f>ybarre-beta1*xbarre</f>
        <v>4.7990033222591819</v>
      </c>
    </row>
    <row r="11" spans="2:15" x14ac:dyDescent="0.25">
      <c r="F11" t="s">
        <v>14</v>
      </c>
      <c r="G11">
        <f>SUM(epsilone_2)</f>
        <v>296.90199335548175</v>
      </c>
    </row>
    <row r="12" spans="2:15" x14ac:dyDescent="0.25">
      <c r="F12" t="s">
        <v>16</v>
      </c>
      <c r="G12">
        <f>SUM(SSR)</f>
        <v>141.93133997785137</v>
      </c>
    </row>
    <row r="13" spans="2:15" x14ac:dyDescent="0.25">
      <c r="F13" t="s">
        <v>17</v>
      </c>
      <c r="G13">
        <f>1-(residut/(residut+somme_ssr))</f>
        <v>0.3234288035955597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Sheet1</vt:lpstr>
      <vt:lpstr>beta0</vt:lpstr>
      <vt:lpstr>beta1</vt:lpstr>
      <vt:lpstr>epsilone_2</vt:lpstr>
      <vt:lpstr>n</vt:lpstr>
      <vt:lpstr>residut</vt:lpstr>
      <vt:lpstr>somm_xi_2</vt:lpstr>
      <vt:lpstr>somm_xi_yi</vt:lpstr>
      <vt:lpstr>somme_ssr</vt:lpstr>
      <vt:lpstr>SSR</vt:lpstr>
      <vt:lpstr>xbarre</vt:lpstr>
      <vt:lpstr>xi_2</vt:lpstr>
      <vt:lpstr>xi_yi</vt:lpstr>
      <vt:lpstr>xt</vt:lpstr>
      <vt:lpstr>y_t</vt:lpstr>
      <vt:lpstr>ybarre</vt:lpstr>
      <vt:lpstr>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2016-09-24T20:31:33Z</dcterms:created>
  <dcterms:modified xsi:type="dcterms:W3CDTF">2016-09-29T15:29:53Z</dcterms:modified>
</cp:coreProperties>
</file>