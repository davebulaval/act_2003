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avid\Dropbox\Actuariat automne 2016\Modèle\Exercice\Chapitre 2\"/>
    </mc:Choice>
  </mc:AlternateContent>
  <bookViews>
    <workbookView xWindow="0" yWindow="0" windowWidth="28800" windowHeight="12210"/>
  </bookViews>
  <sheets>
    <sheet name="Sheet1" sheetId="1" r:id="rId1"/>
  </sheets>
  <definedNames>
    <definedName name="n">Sheet1!$C$4</definedName>
    <definedName name="x_2">Sheet1!$C$8</definedName>
    <definedName name="xbarre">Sheet1!$C$5</definedName>
    <definedName name="xt_yt">Sheet1!$C$7</definedName>
    <definedName name="ybarre">Sheet1!$C$6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8" i="1"/>
  <c r="P5" i="1"/>
  <c r="P6" i="1"/>
  <c r="P7" i="1"/>
  <c r="P8" i="1"/>
  <c r="P9" i="1"/>
  <c r="P10" i="1"/>
  <c r="P11" i="1"/>
  <c r="P4" i="1"/>
  <c r="G7" i="1"/>
  <c r="O6" i="1"/>
  <c r="O5" i="1"/>
  <c r="O7" i="1"/>
  <c r="O8" i="1"/>
  <c r="O9" i="1"/>
  <c r="O10" i="1"/>
  <c r="O11" i="1"/>
  <c r="O4" i="1"/>
  <c r="N5" i="1"/>
  <c r="N6" i="1"/>
  <c r="N7" i="1"/>
  <c r="N8" i="1"/>
  <c r="N9" i="1"/>
  <c r="N10" i="1"/>
  <c r="N11" i="1"/>
  <c r="N4" i="1"/>
  <c r="G5" i="1"/>
  <c r="G4" i="1"/>
  <c r="C6" i="1"/>
  <c r="C5" i="1"/>
  <c r="G9" i="1" l="1"/>
</calcChain>
</file>

<file path=xl/sharedStrings.xml><?xml version="1.0" encoding="utf-8"?>
<sst xmlns="http://schemas.openxmlformats.org/spreadsheetml/2006/main" count="16" uniqueCount="14">
  <si>
    <t>n</t>
  </si>
  <si>
    <t>xbarre</t>
  </si>
  <si>
    <t>ybarre</t>
  </si>
  <si>
    <t>xt*yt</t>
  </si>
  <si>
    <t>x^2</t>
  </si>
  <si>
    <t>beta1</t>
  </si>
  <si>
    <t>beta0</t>
  </si>
  <si>
    <t>ssr</t>
  </si>
  <si>
    <t>sse</t>
  </si>
  <si>
    <t>sst</t>
  </si>
  <si>
    <t>xt</t>
  </si>
  <si>
    <t>yt</t>
  </si>
  <si>
    <t>ŷ^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</si>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</sst>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P11"/>
  <sheetViews>
    <sheetView tabSelected="1" workbookViewId="0">
      <selection activeCell="F12" sqref="F12"/>
    </sheetView>
  </sheetViews>
  <sheetFormatPr defaultRowHeight="15" x14ac:dyDescent="0.25"/>
  <sheetData>
    <row r="3" spans="2:16" x14ac:dyDescent="0.25">
      <c r="L3" t="s">
        <v>10</v>
      </c>
      <c r="M3" t="s">
        <v>11</v>
      </c>
      <c r="N3" t="s">
        <v>12</v>
      </c>
      <c r="O3" t="s">
        <v>7</v>
      </c>
      <c r="P3" t="s">
        <v>8</v>
      </c>
    </row>
    <row r="4" spans="2:16" x14ac:dyDescent="0.25">
      <c r="B4" t="s">
        <v>0</v>
      </c>
      <c r="C4">
        <v>8</v>
      </c>
      <c r="F4" t="s">
        <v>5</v>
      </c>
      <c r="G4">
        <f>(xt_yt-8*xbarre*ybarre)/(x_2-8*xbarre^2)</f>
        <v>-0.5</v>
      </c>
      <c r="L4">
        <v>2</v>
      </c>
      <c r="M4">
        <v>6</v>
      </c>
      <c r="N4">
        <f>$G$5+$G$4*L4</f>
        <v>6</v>
      </c>
      <c r="O4">
        <f>(N4-ybarre)^2</f>
        <v>1</v>
      </c>
      <c r="P4">
        <f>(M4-N4)^2</f>
        <v>0</v>
      </c>
    </row>
    <row r="5" spans="2:16" x14ac:dyDescent="0.25">
      <c r="B5" t="s">
        <v>1</v>
      </c>
      <c r="C5">
        <f>32/n</f>
        <v>4</v>
      </c>
      <c r="F5" t="s">
        <v>6</v>
      </c>
      <c r="G5">
        <f>ybarre-G4*xbarre</f>
        <v>7</v>
      </c>
      <c r="L5">
        <v>3</v>
      </c>
      <c r="M5">
        <v>4</v>
      </c>
      <c r="N5">
        <f t="shared" ref="N5:N11" si="0">$G$5+$G$4*L5</f>
        <v>5.5</v>
      </c>
      <c r="O5">
        <f>(N5-ybarre)^2</f>
        <v>0.25</v>
      </c>
      <c r="P5">
        <f t="shared" ref="P5:P11" si="1">(M5-N5)^2</f>
        <v>2.25</v>
      </c>
    </row>
    <row r="6" spans="2:16" x14ac:dyDescent="0.25">
      <c r="B6" t="s">
        <v>2</v>
      </c>
      <c r="C6">
        <f>40/n</f>
        <v>5</v>
      </c>
      <c r="L6">
        <v>5</v>
      </c>
      <c r="M6">
        <v>6</v>
      </c>
      <c r="N6">
        <f t="shared" si="0"/>
        <v>4.5</v>
      </c>
      <c r="O6">
        <f>(N6-ybarre)^2</f>
        <v>0.25</v>
      </c>
      <c r="P6">
        <f t="shared" si="1"/>
        <v>2.25</v>
      </c>
    </row>
    <row r="7" spans="2:16" x14ac:dyDescent="0.25">
      <c r="B7" t="s">
        <v>3</v>
      </c>
      <c r="C7">
        <v>146</v>
      </c>
      <c r="F7" t="s">
        <v>7</v>
      </c>
      <c r="G7">
        <f>SUM(O4:O11)</f>
        <v>7</v>
      </c>
      <c r="L7">
        <v>7</v>
      </c>
      <c r="M7">
        <v>3</v>
      </c>
      <c r="N7">
        <f t="shared" si="0"/>
        <v>3.5</v>
      </c>
      <c r="O7">
        <f>(N7-ybarre)^2</f>
        <v>2.25</v>
      </c>
      <c r="P7">
        <f t="shared" si="1"/>
        <v>0.25</v>
      </c>
    </row>
    <row r="8" spans="2:16" x14ac:dyDescent="0.25">
      <c r="B8" t="s">
        <v>4</v>
      </c>
      <c r="C8">
        <v>156</v>
      </c>
      <c r="F8" t="s">
        <v>8</v>
      </c>
      <c r="G8">
        <f>SUM(P4:P11)</f>
        <v>7</v>
      </c>
      <c r="L8">
        <v>4</v>
      </c>
      <c r="M8">
        <v>6</v>
      </c>
      <c r="N8">
        <f t="shared" si="0"/>
        <v>5</v>
      </c>
      <c r="O8">
        <f>(N8-ybarre)^2</f>
        <v>0</v>
      </c>
      <c r="P8">
        <f t="shared" si="1"/>
        <v>1</v>
      </c>
    </row>
    <row r="9" spans="2:16" x14ac:dyDescent="0.25">
      <c r="F9" t="s">
        <v>9</v>
      </c>
      <c r="G9">
        <f>G7+G8</f>
        <v>14</v>
      </c>
      <c r="L9">
        <v>4</v>
      </c>
      <c r="M9">
        <v>4</v>
      </c>
      <c r="N9">
        <f t="shared" si="0"/>
        <v>5</v>
      </c>
      <c r="O9">
        <f>(N9-ybarre)^2</f>
        <v>0</v>
      </c>
      <c r="P9">
        <f t="shared" si="1"/>
        <v>1</v>
      </c>
    </row>
    <row r="10" spans="2:16" x14ac:dyDescent="0.25">
      <c r="L10">
        <v>1</v>
      </c>
      <c r="M10">
        <v>7</v>
      </c>
      <c r="N10">
        <f t="shared" si="0"/>
        <v>6.5</v>
      </c>
      <c r="O10">
        <f>(N10-ybarre)^2</f>
        <v>2.25</v>
      </c>
      <c r="P10">
        <f t="shared" si="1"/>
        <v>0.25</v>
      </c>
    </row>
    <row r="11" spans="2:16" x14ac:dyDescent="0.25">
      <c r="F11" t="s">
        <v>13</v>
      </c>
      <c r="G11">
        <f>1-(G8/G9)</f>
        <v>0.5</v>
      </c>
      <c r="L11">
        <v>6</v>
      </c>
      <c r="M11">
        <v>4</v>
      </c>
      <c r="N11">
        <f t="shared" si="0"/>
        <v>4</v>
      </c>
      <c r="O11">
        <f>(N11-ybarre)^2</f>
        <v>1</v>
      </c>
      <c r="P11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n</vt:lpstr>
      <vt:lpstr>x_2</vt:lpstr>
      <vt:lpstr>xbarre</vt:lpstr>
      <vt:lpstr>xt_yt</vt:lpstr>
      <vt:lpstr>ybarre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2016-09-24T21:14:58Z</dcterms:created>
  <dcterms:modified xsi:type="dcterms:W3CDTF">2016-09-24T21:49:13Z</dcterms:modified>
</cp:coreProperties>
</file>