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/>
  <mc:AlternateContent xmlns:mc="http://schemas.openxmlformats.org/markup-compatibility/2006">
    <mc:Choice Requires="x15">
      <x15ac:absPath xmlns:x15ac="http://schemas.microsoft.com/office/spreadsheetml/2010/11/ac" url="C:\Users\frere\Dropbox\Actuariat automne 2016\Modèle\Dépannage\"/>
    </mc:Choice>
  </mc:AlternateContent>
  <bookViews>
    <workbookView xWindow="0" yWindow="0" windowWidth="28800" windowHeight="12210"/>
  </bookViews>
  <sheets>
    <sheet name="Sheet1" sheetId="1" r:id="rId1"/>
  </sheets>
  <definedNames>
    <definedName name="beta">Sheet1!$G$13</definedName>
    <definedName name="beta0">Sheet1!$G$9</definedName>
    <definedName name="beta1">Sheet1!$G$8</definedName>
    <definedName name="epsilone_2">Sheet1!$M$4:$M$9</definedName>
    <definedName name="n">Sheet1!$G$3</definedName>
    <definedName name="residut">Sheet1!$G$10</definedName>
    <definedName name="somme_ssr">Sheet1!$G$11</definedName>
    <definedName name="Somme_SST">Sheet1!$G$10</definedName>
    <definedName name="somme_xi_2">Sheet1!$G$6</definedName>
    <definedName name="somme_xi_yi">Sheet1!$G$7</definedName>
    <definedName name="ssr">Sheet1!$N$4:$N$9</definedName>
    <definedName name="sst">Sheet1!$O$4:$O$9</definedName>
    <definedName name="xbarre">Sheet1!$G$4</definedName>
    <definedName name="xi_2">Sheet1!$J$4:$J$9</definedName>
    <definedName name="xi_yi">Sheet1!$K$4:$K$9</definedName>
    <definedName name="xt">Sheet1!$C$4:$C$9</definedName>
    <definedName name="y_t">Sheet1!$L$4:$L$9</definedName>
    <definedName name="y_t_origine">Sheet1!$L$12:$L$17</definedName>
    <definedName name="ybarre">Sheet1!$G$5</definedName>
    <definedName name="yt">Sheet1!$D$4:$D$9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5" i="1" l="1"/>
  <c r="M6" i="1"/>
  <c r="M7" i="1"/>
  <c r="M8" i="1"/>
  <c r="M9" i="1"/>
  <c r="M4" i="1"/>
  <c r="G12" i="1" l="1"/>
  <c r="G10" i="1"/>
  <c r="O5" i="1"/>
  <c r="O6" i="1"/>
  <c r="O7" i="1"/>
  <c r="O8" i="1"/>
  <c r="O9" i="1"/>
  <c r="O4" i="1"/>
  <c r="N22" i="1"/>
  <c r="N21" i="1"/>
  <c r="O13" i="1"/>
  <c r="O14" i="1"/>
  <c r="O15" i="1"/>
  <c r="O16" i="1"/>
  <c r="O17" i="1"/>
  <c r="O12" i="1"/>
  <c r="N12" i="1"/>
  <c r="N20" i="1" s="1"/>
  <c r="N19" i="1"/>
  <c r="G3" i="1"/>
  <c r="K5" i="1" l="1"/>
  <c r="K6" i="1"/>
  <c r="G7" i="1" s="1"/>
  <c r="G13" i="1" s="1"/>
  <c r="K7" i="1"/>
  <c r="K8" i="1"/>
  <c r="K9" i="1"/>
  <c r="K4" i="1"/>
  <c r="J5" i="1"/>
  <c r="J6" i="1"/>
  <c r="G6" i="1" s="1"/>
  <c r="J7" i="1"/>
  <c r="J8" i="1"/>
  <c r="J9" i="1"/>
  <c r="J4" i="1"/>
  <c r="G4" i="1"/>
  <c r="G5" i="1"/>
  <c r="L12" i="1" l="1"/>
  <c r="L16" i="1"/>
  <c r="L15" i="1"/>
  <c r="L13" i="1"/>
  <c r="L17" i="1"/>
  <c r="L14" i="1"/>
  <c r="G8" i="1"/>
  <c r="G9" i="1" s="1"/>
  <c r="L9" i="1" l="1"/>
  <c r="L6" i="1"/>
  <c r="N15" i="1"/>
  <c r="M15" i="1"/>
  <c r="N14" i="1"/>
  <c r="M14" i="1"/>
  <c r="M16" i="1"/>
  <c r="N16" i="1"/>
  <c r="M13" i="1"/>
  <c r="N13" i="1"/>
  <c r="M17" i="1"/>
  <c r="N17" i="1"/>
  <c r="M12" i="1"/>
  <c r="L8" i="1"/>
  <c r="N8" i="1" s="1"/>
  <c r="L5" i="1"/>
  <c r="N9" i="1"/>
  <c r="L4" i="1"/>
  <c r="L7" i="1"/>
  <c r="N6" i="1" l="1"/>
  <c r="N5" i="1"/>
  <c r="N4" i="1"/>
  <c r="N7" i="1"/>
  <c r="G11" i="1" l="1"/>
</calcChain>
</file>

<file path=xl/sharedStrings.xml><?xml version="1.0" encoding="utf-8"?>
<sst xmlns="http://schemas.openxmlformats.org/spreadsheetml/2006/main" count="31" uniqueCount="26">
  <si>
    <t>t</t>
  </si>
  <si>
    <t>xt</t>
  </si>
  <si>
    <t>yt</t>
  </si>
  <si>
    <t>n</t>
  </si>
  <si>
    <t>xbarre</t>
  </si>
  <si>
    <t>ybarre</t>
  </si>
  <si>
    <t>xi^2</t>
  </si>
  <si>
    <t>xi*yi</t>
  </si>
  <si>
    <t>y^t</t>
  </si>
  <si>
    <t>somme xi^2</t>
  </si>
  <si>
    <t>somme xi*yi</t>
  </si>
  <si>
    <t>beta1</t>
  </si>
  <si>
    <t>beta0</t>
  </si>
  <si>
    <t>epsilone^2</t>
  </si>
  <si>
    <t>ssr</t>
  </si>
  <si>
    <t>somme ssr</t>
  </si>
  <si>
    <t>R2</t>
  </si>
  <si>
    <t>iV ) non devient un segment droit, et r2 devient presque 1</t>
  </si>
  <si>
    <t xml:space="preserve">beta </t>
  </si>
  <si>
    <t>Régression par origine</t>
  </si>
  <si>
    <t>beta origine</t>
  </si>
  <si>
    <t>résidut</t>
  </si>
  <si>
    <t>somme SSR</t>
  </si>
  <si>
    <t>SST</t>
  </si>
  <si>
    <t>sst</t>
  </si>
  <si>
    <t>Somme SST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</si>
</sst>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1"/>
            <c:dispEq val="1"/>
            <c:trendlineLbl>
              <c:layout>
                <c:manualLayout>
                  <c:x val="-8.555399900165854E-2"/>
                  <c:y val="-4.9792504917016173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</c:trendlineLbl>
          </c:trendline>
          <c:xVal>
            <c:numRef>
              <c:f>Sheet1!$C$4:$C$9</c:f>
              <c:numCache>
                <c:formatCode>General</c:formatCode>
                <c:ptCount val="6"/>
                <c:pt idx="0">
                  <c:v>90</c:v>
                </c:pt>
                <c:pt idx="1">
                  <c:v>86</c:v>
                </c:pt>
                <c:pt idx="2">
                  <c:v>67</c:v>
                </c:pt>
                <c:pt idx="3">
                  <c:v>89</c:v>
                </c:pt>
                <c:pt idx="4">
                  <c:v>81</c:v>
                </c:pt>
                <c:pt idx="5">
                  <c:v>75</c:v>
                </c:pt>
              </c:numCache>
            </c:numRef>
          </c:xVal>
          <c:yVal>
            <c:numRef>
              <c:f>Sheet1!$D$4:$D$9</c:f>
              <c:numCache>
                <c:formatCode>General</c:formatCode>
                <c:ptCount val="6"/>
                <c:pt idx="0">
                  <c:v>62</c:v>
                </c:pt>
                <c:pt idx="1">
                  <c:v>45</c:v>
                </c:pt>
                <c:pt idx="2">
                  <c:v>40</c:v>
                </c:pt>
                <c:pt idx="3">
                  <c:v>55</c:v>
                </c:pt>
                <c:pt idx="4">
                  <c:v>64</c:v>
                </c:pt>
                <c:pt idx="5">
                  <c:v>53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5E1-4508-96D1-C8E8EA4866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0788120"/>
        <c:axId val="49232296"/>
      </c:scatterChart>
      <c:valAx>
        <c:axId val="3707881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9232296"/>
        <c:crosses val="autoZero"/>
        <c:crossBetween val="midCat"/>
      </c:valAx>
      <c:valAx>
        <c:axId val="49232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07881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447675</xdr:colOff>
      <xdr:row>15</xdr:row>
      <xdr:rowOff>14286</xdr:rowOff>
    </xdr:from>
    <xdr:to>
      <xdr:col>10</xdr:col>
      <xdr:colOff>523875</xdr:colOff>
      <xdr:row>31</xdr:row>
      <xdr:rowOff>133349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O35"/>
  <sheetViews>
    <sheetView tabSelected="1" workbookViewId="0">
      <selection activeCell="M4" sqref="M4:M9"/>
    </sheetView>
  </sheetViews>
  <sheetFormatPr defaultRowHeight="15" x14ac:dyDescent="0.25"/>
  <cols>
    <col min="6" max="6" width="12.125" bestFit="1" customWidth="1"/>
    <col min="7" max="7" width="15" customWidth="1"/>
    <col min="10" max="10" width="12" customWidth="1"/>
    <col min="11" max="11" width="17.625" bestFit="1" customWidth="1"/>
    <col min="12" max="13" width="12" bestFit="1" customWidth="1"/>
  </cols>
  <sheetData>
    <row r="3" spans="2:15" x14ac:dyDescent="0.25">
      <c r="B3" t="s">
        <v>0</v>
      </c>
      <c r="C3" t="s">
        <v>1</v>
      </c>
      <c r="D3" t="s">
        <v>2</v>
      </c>
      <c r="F3" t="s">
        <v>3</v>
      </c>
      <c r="G3">
        <f>COUNT(B4:B9)</f>
        <v>6</v>
      </c>
      <c r="J3" t="s">
        <v>6</v>
      </c>
      <c r="K3" t="s">
        <v>7</v>
      </c>
      <c r="L3" t="s">
        <v>8</v>
      </c>
      <c r="M3" t="s">
        <v>13</v>
      </c>
      <c r="N3" t="s">
        <v>14</v>
      </c>
      <c r="O3" t="s">
        <v>24</v>
      </c>
    </row>
    <row r="4" spans="2:15" x14ac:dyDescent="0.25">
      <c r="B4">
        <v>1</v>
      </c>
      <c r="C4">
        <v>90</v>
      </c>
      <c r="D4">
        <v>62</v>
      </c>
      <c r="F4" t="s">
        <v>4</v>
      </c>
      <c r="G4">
        <f>SUM(xt)/n</f>
        <v>81.333333333333329</v>
      </c>
      <c r="J4">
        <f t="shared" ref="J4:J9" si="0">xt^2</f>
        <v>8100</v>
      </c>
      <c r="K4">
        <f t="shared" ref="K4:K9" si="1">xt*yt</f>
        <v>5580</v>
      </c>
      <c r="L4">
        <f t="shared" ref="L4:L9" si="2">beta0+xt*beta1</f>
        <v>58.320598006644516</v>
      </c>
      <c r="M4">
        <f>(L4-D4)^2</f>
        <v>13.537999028708306</v>
      </c>
      <c r="N4">
        <f>(L4-ybarre)^2</f>
        <v>26.563008257205897</v>
      </c>
      <c r="O4">
        <f t="shared" ref="O4:O9" si="3">(yt-ybarre)^2</f>
        <v>78.027777777777814</v>
      </c>
    </row>
    <row r="5" spans="2:15" x14ac:dyDescent="0.25">
      <c r="B5">
        <v>2</v>
      </c>
      <c r="C5">
        <v>86</v>
      </c>
      <c r="D5">
        <v>45</v>
      </c>
      <c r="F5" t="s">
        <v>5</v>
      </c>
      <c r="G5">
        <f>SUM(yt)/n</f>
        <v>53.166666666666664</v>
      </c>
      <c r="J5">
        <f t="shared" si="0"/>
        <v>7396</v>
      </c>
      <c r="K5">
        <f t="shared" si="1"/>
        <v>3870</v>
      </c>
      <c r="L5">
        <f t="shared" si="2"/>
        <v>55.941860465116278</v>
      </c>
      <c r="M5">
        <f t="shared" ref="M5:M9" si="4">(L5-D5)^2</f>
        <v>119.72431043807461</v>
      </c>
      <c r="N5">
        <f t="shared" ref="N5:N9" si="5">(L5-ybarre)^2</f>
        <v>7.7017006189531951</v>
      </c>
      <c r="O5">
        <f t="shared" si="3"/>
        <v>66.6944444444444</v>
      </c>
    </row>
    <row r="6" spans="2:15" x14ac:dyDescent="0.25">
      <c r="B6">
        <v>3</v>
      </c>
      <c r="C6">
        <v>67</v>
      </c>
      <c r="D6">
        <v>40</v>
      </c>
      <c r="F6" t="s">
        <v>9</v>
      </c>
      <c r="G6">
        <f>SUM(xi_2)</f>
        <v>40092</v>
      </c>
      <c r="J6">
        <f t="shared" si="0"/>
        <v>4489</v>
      </c>
      <c r="K6">
        <f t="shared" si="1"/>
        <v>2680</v>
      </c>
      <c r="L6">
        <f t="shared" si="2"/>
        <v>44.642857142857153</v>
      </c>
      <c r="M6">
        <f t="shared" si="4"/>
        <v>21.556122448979686</v>
      </c>
      <c r="N6">
        <f t="shared" si="5"/>
        <v>72.655328798185721</v>
      </c>
      <c r="O6">
        <f t="shared" si="3"/>
        <v>173.36111111111106</v>
      </c>
    </row>
    <row r="7" spans="2:15" x14ac:dyDescent="0.25">
      <c r="B7">
        <v>4</v>
      </c>
      <c r="C7">
        <v>89</v>
      </c>
      <c r="D7">
        <v>55</v>
      </c>
      <c r="F7" t="s">
        <v>10</v>
      </c>
      <c r="G7">
        <f>SUM(xi_yi)</f>
        <v>26184</v>
      </c>
      <c r="J7">
        <f t="shared" si="0"/>
        <v>7921</v>
      </c>
      <c r="K7">
        <f t="shared" si="1"/>
        <v>4895</v>
      </c>
      <c r="L7">
        <f t="shared" si="2"/>
        <v>57.725913621262457</v>
      </c>
      <c r="M7">
        <f t="shared" si="4"/>
        <v>7.4306050705842006</v>
      </c>
      <c r="N7">
        <f t="shared" si="5"/>
        <v>20.78673279299101</v>
      </c>
      <c r="O7">
        <f t="shared" si="3"/>
        <v>3.3611111111111196</v>
      </c>
    </row>
    <row r="8" spans="2:15" x14ac:dyDescent="0.25">
      <c r="B8">
        <v>5</v>
      </c>
      <c r="C8">
        <v>81</v>
      </c>
      <c r="D8">
        <v>64</v>
      </c>
      <c r="F8" t="s">
        <v>11</v>
      </c>
      <c r="G8">
        <f>(somme_xi_yi-n*xbarre*ybarre) / (somme_xi_2-n*xbarre^2)</f>
        <v>0.59468438538205926</v>
      </c>
      <c r="J8">
        <f t="shared" si="0"/>
        <v>6561</v>
      </c>
      <c r="K8">
        <f t="shared" si="1"/>
        <v>5184</v>
      </c>
      <c r="L8">
        <f t="shared" si="2"/>
        <v>52.96843853820598</v>
      </c>
      <c r="M8">
        <f t="shared" si="4"/>
        <v>121.69534828533901</v>
      </c>
      <c r="N8">
        <f t="shared" si="5"/>
        <v>3.9294390913025501E-2</v>
      </c>
      <c r="O8">
        <f t="shared" si="3"/>
        <v>117.36111111111116</v>
      </c>
    </row>
    <row r="9" spans="2:15" x14ac:dyDescent="0.25">
      <c r="B9">
        <v>6</v>
      </c>
      <c r="C9">
        <v>75</v>
      </c>
      <c r="D9">
        <v>53</v>
      </c>
      <c r="F9" t="s">
        <v>12</v>
      </c>
      <c r="G9">
        <f>ybarre-beta1*xbarre</f>
        <v>4.7990033222591819</v>
      </c>
      <c r="J9">
        <f t="shared" si="0"/>
        <v>5625</v>
      </c>
      <c r="K9">
        <f t="shared" si="1"/>
        <v>3975</v>
      </c>
      <c r="L9">
        <f t="shared" si="2"/>
        <v>49.400332225913623</v>
      </c>
      <c r="M9">
        <f t="shared" si="4"/>
        <v>12.957608083795975</v>
      </c>
      <c r="N9">
        <f t="shared" si="5"/>
        <v>14.185275119602528</v>
      </c>
      <c r="O9">
        <f t="shared" si="3"/>
        <v>2.7777777777776989E-2</v>
      </c>
    </row>
    <row r="10" spans="2:15" x14ac:dyDescent="0.25">
      <c r="F10" t="s">
        <v>25</v>
      </c>
      <c r="G10">
        <f>SUM(sst)</f>
        <v>438.83333333333331</v>
      </c>
    </row>
    <row r="11" spans="2:15" x14ac:dyDescent="0.25">
      <c r="F11" t="s">
        <v>15</v>
      </c>
      <c r="G11">
        <f>SUM(ssr)</f>
        <v>141.93133997785137</v>
      </c>
      <c r="K11" t="s">
        <v>19</v>
      </c>
      <c r="L11" t="s">
        <v>8</v>
      </c>
      <c r="M11" t="s">
        <v>13</v>
      </c>
      <c r="N11" t="s">
        <v>14</v>
      </c>
      <c r="O11" t="s">
        <v>24</v>
      </c>
    </row>
    <row r="12" spans="2:15" x14ac:dyDescent="0.25">
      <c r="F12" t="s">
        <v>16</v>
      </c>
      <c r="G12">
        <f>somme_ssr/Somme_SST</f>
        <v>0.32342880359555953</v>
      </c>
      <c r="L12">
        <f t="shared" ref="L12:L17" si="6">beta*C4</f>
        <v>58.778808739898238</v>
      </c>
      <c r="M12">
        <f>(D4-L12)^2</f>
        <v>10.376073134155975</v>
      </c>
      <c r="N12">
        <f t="shared" ref="N12:N17" si="7">(L12-ybarre)^2</f>
        <v>31.49613865013599</v>
      </c>
      <c r="O12">
        <f t="shared" ref="O12:O17" si="8">(D4-ybarre)^2</f>
        <v>78.027777777777814</v>
      </c>
    </row>
    <row r="13" spans="2:15" x14ac:dyDescent="0.25">
      <c r="F13" t="s">
        <v>18</v>
      </c>
      <c r="G13">
        <f>somme_xi_yi / somme_xi_2</f>
        <v>0.65309787488775817</v>
      </c>
      <c r="H13" t="s">
        <v>20</v>
      </c>
      <c r="L13">
        <f t="shared" si="6"/>
        <v>56.166417240347201</v>
      </c>
      <c r="M13">
        <f t="shared" ref="M13:M17" si="9">(D5-L13)^2</f>
        <v>124.6888739855232</v>
      </c>
      <c r="N13">
        <f t="shared" si="7"/>
        <v>8.9985035042967088</v>
      </c>
      <c r="O13">
        <f t="shared" si="8"/>
        <v>66.6944444444444</v>
      </c>
    </row>
    <row r="14" spans="2:15" x14ac:dyDescent="0.25">
      <c r="L14">
        <f t="shared" si="6"/>
        <v>43.757557617479797</v>
      </c>
      <c r="M14">
        <f t="shared" si="9"/>
        <v>14.119239248680451</v>
      </c>
      <c r="N14">
        <f t="shared" si="7"/>
        <v>88.531333099490183</v>
      </c>
      <c r="O14">
        <f t="shared" si="8"/>
        <v>173.36111111111106</v>
      </c>
    </row>
    <row r="15" spans="2:15" x14ac:dyDescent="0.25">
      <c r="L15">
        <f t="shared" si="6"/>
        <v>58.125710865010475</v>
      </c>
      <c r="M15">
        <f t="shared" si="9"/>
        <v>9.7700684116445355</v>
      </c>
      <c r="N15">
        <f t="shared" si="7"/>
        <v>24.592119361127413</v>
      </c>
      <c r="O15">
        <f t="shared" si="8"/>
        <v>3.3611111111111196</v>
      </c>
    </row>
    <row r="16" spans="2:15" x14ac:dyDescent="0.25">
      <c r="L16">
        <f t="shared" si="6"/>
        <v>52.900927865908415</v>
      </c>
      <c r="M16">
        <f t="shared" si="9"/>
        <v>123.18940223776833</v>
      </c>
      <c r="N16">
        <f t="shared" si="7"/>
        <v>7.0617110228432756E-2</v>
      </c>
      <c r="O16">
        <f t="shared" si="8"/>
        <v>117.36111111111116</v>
      </c>
    </row>
    <row r="17" spans="12:15" x14ac:dyDescent="0.25">
      <c r="L17">
        <f t="shared" si="6"/>
        <v>48.982340616581865</v>
      </c>
      <c r="M17">
        <f t="shared" si="9"/>
        <v>16.141586921167786</v>
      </c>
      <c r="N17">
        <f t="shared" si="7"/>
        <v>17.508584493418255</v>
      </c>
      <c r="O17">
        <f t="shared" si="8"/>
        <v>2.7777777777776989E-2</v>
      </c>
    </row>
    <row r="19" spans="12:15" x14ac:dyDescent="0.25">
      <c r="M19" t="s">
        <v>21</v>
      </c>
      <c r="N19">
        <f>SUM(M12:M17)</f>
        <v>298.28524393894031</v>
      </c>
    </row>
    <row r="20" spans="12:15" x14ac:dyDescent="0.25">
      <c r="M20" t="s">
        <v>22</v>
      </c>
      <c r="N20">
        <f>SUM(N12:N17)</f>
        <v>171.19729621869695</v>
      </c>
    </row>
    <row r="21" spans="12:15" x14ac:dyDescent="0.25">
      <c r="M21" t="s">
        <v>23</v>
      </c>
      <c r="N21">
        <f>SUM(O12:O17)</f>
        <v>438.83333333333331</v>
      </c>
    </row>
    <row r="22" spans="12:15" x14ac:dyDescent="0.25">
      <c r="M22" t="s">
        <v>16</v>
      </c>
      <c r="N22">
        <f>(N20/(N21))</f>
        <v>0.39011917102627486</v>
      </c>
    </row>
    <row r="35" spans="2:2" x14ac:dyDescent="0.25">
      <c r="B35" t="s">
        <v>17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20</vt:i4>
      </vt:variant>
    </vt:vector>
  </HeadingPairs>
  <TitlesOfParts>
    <vt:vector size="21" baseType="lpstr">
      <vt:lpstr>Sheet1</vt:lpstr>
      <vt:lpstr>beta</vt:lpstr>
      <vt:lpstr>beta0</vt:lpstr>
      <vt:lpstr>beta1</vt:lpstr>
      <vt:lpstr>epsilone_2</vt:lpstr>
      <vt:lpstr>n</vt:lpstr>
      <vt:lpstr>residut</vt:lpstr>
      <vt:lpstr>somme_ssr</vt:lpstr>
      <vt:lpstr>Somme_SST</vt:lpstr>
      <vt:lpstr>somme_xi_2</vt:lpstr>
      <vt:lpstr>somme_xi_yi</vt:lpstr>
      <vt:lpstr>ssr</vt:lpstr>
      <vt:lpstr>sst</vt:lpstr>
      <vt:lpstr>xbarre</vt:lpstr>
      <vt:lpstr>xi_2</vt:lpstr>
      <vt:lpstr>xi_yi</vt:lpstr>
      <vt:lpstr>xt</vt:lpstr>
      <vt:lpstr>y_t</vt:lpstr>
      <vt:lpstr>y_t_origine</vt:lpstr>
      <vt:lpstr>ybarre</vt:lpstr>
      <vt:lpstr>yt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David</dc:creator>
  <cp:lastModifiedBy>David Beauchemin</cp:lastModifiedBy>
  <dcterms:created xsi:type="dcterms:W3CDTF">2016-09-29T13:57:51Z</dcterms:created>
  <dcterms:modified xsi:type="dcterms:W3CDTF">2016-09-29T19:39:35Z</dcterms:modified>
</cp:coreProperties>
</file>