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frere\Dropbox\Actuariat automne 2016\Modèle\Dépannage\"/>
    </mc:Choice>
  </mc:AlternateContent>
  <bookViews>
    <workbookView xWindow="0" yWindow="0" windowWidth="21570" windowHeight="10035"/>
  </bookViews>
  <sheets>
    <sheet name="Sheet1" sheetId="1" r:id="rId1"/>
  </sheets>
  <definedNames>
    <definedName name="_r2">Sheet1!$G$12</definedName>
    <definedName name="beta0">Sheet1!$G$9</definedName>
    <definedName name="beta1">Sheet1!$G$8</definedName>
    <definedName name="Ei_Ebarre">Sheet1!$Q$4:$Q$17</definedName>
    <definedName name="epsilone_2">Sheet1!$M$4:$M$17</definedName>
    <definedName name="n">Sheet1!$G$3</definedName>
    <definedName name="residut">Sheet1!$G$10</definedName>
    <definedName name="somme_ssr">Sheet1!$G$11</definedName>
    <definedName name="Somme_SST">Sheet1!$G$10</definedName>
    <definedName name="somme_xi_2">Sheet1!$G$6</definedName>
    <definedName name="somme_xi_yi">Sheet1!$G$7</definedName>
    <definedName name="SSR">Sheet1!$P$4:$P$17</definedName>
    <definedName name="SST">Sheet1!$O$4:$O$17</definedName>
    <definedName name="xbarre">Sheet1!$G$4</definedName>
    <definedName name="xi_2">Sheet1!$I$4:$I$17</definedName>
    <definedName name="xi_yi">Sheet1!$J$4:$J$17</definedName>
    <definedName name="xt">Sheet1!$C$4:$C$17</definedName>
    <definedName name="xt_xbarre_2">Sheet1!$N$4:$N$17</definedName>
    <definedName name="y_t">Sheet1!$L$4:$L$17</definedName>
    <definedName name="ybarre">Sheet1!$G$5</definedName>
    <definedName name="yt">Sheet1!$D$4:$D$17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D24" i="1"/>
  <c r="G24" i="1" l="1"/>
  <c r="E25" i="1"/>
  <c r="G15" i="1"/>
  <c r="G14" i="1"/>
  <c r="G1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4" i="1"/>
  <c r="G3" i="1" l="1"/>
  <c r="G7" i="1" l="1"/>
  <c r="G6" i="1"/>
  <c r="G5" i="1"/>
  <c r="G4" i="1"/>
  <c r="N5" i="1" s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4" i="1"/>
  <c r="J4" i="1"/>
  <c r="N16" i="1" l="1"/>
  <c r="O7" i="1"/>
  <c r="O11" i="1"/>
  <c r="O15" i="1"/>
  <c r="O10" i="1"/>
  <c r="O4" i="1"/>
  <c r="O8" i="1"/>
  <c r="O12" i="1"/>
  <c r="O16" i="1"/>
  <c r="O14" i="1"/>
  <c r="O5" i="1"/>
  <c r="O9" i="1"/>
  <c r="O13" i="1"/>
  <c r="O17" i="1"/>
  <c r="O6" i="1"/>
  <c r="N15" i="1"/>
  <c r="N11" i="1"/>
  <c r="N7" i="1"/>
  <c r="G8" i="1"/>
  <c r="G9" i="1" s="1"/>
  <c r="N12" i="1"/>
  <c r="N4" i="1"/>
  <c r="N14" i="1"/>
  <c r="N10" i="1"/>
  <c r="N6" i="1"/>
  <c r="N8" i="1"/>
  <c r="N17" i="1"/>
  <c r="N13" i="1"/>
  <c r="N9" i="1"/>
  <c r="L5" i="1" l="1"/>
  <c r="L9" i="1"/>
  <c r="L13" i="1"/>
  <c r="L17" i="1"/>
  <c r="L6" i="1"/>
  <c r="L10" i="1"/>
  <c r="L4" i="1"/>
  <c r="L12" i="1"/>
  <c r="L14" i="1"/>
  <c r="L8" i="1"/>
  <c r="L7" i="1"/>
  <c r="L11" i="1"/>
  <c r="L15" i="1"/>
  <c r="L16" i="1"/>
  <c r="G10" i="1"/>
  <c r="P11" i="1" l="1"/>
  <c r="P17" i="1"/>
  <c r="P7" i="1"/>
  <c r="P4" i="1"/>
  <c r="P13" i="1"/>
  <c r="P16" i="1"/>
  <c r="P10" i="1"/>
  <c r="P9" i="1"/>
  <c r="P12" i="1"/>
  <c r="P8" i="1"/>
  <c r="P15" i="1"/>
  <c r="P14" i="1"/>
  <c r="P6" i="1"/>
  <c r="P5" i="1"/>
  <c r="G11" i="1" l="1"/>
  <c r="G12" i="1" s="1"/>
  <c r="D25" i="1" l="1"/>
</calcChain>
</file>

<file path=xl/sharedStrings.xml><?xml version="1.0" encoding="utf-8"?>
<sst xmlns="http://schemas.openxmlformats.org/spreadsheetml/2006/main" count="27" uniqueCount="25">
  <si>
    <t>t</t>
  </si>
  <si>
    <t>xt</t>
  </si>
  <si>
    <t>yt</t>
  </si>
  <si>
    <t>n</t>
  </si>
  <si>
    <t>xbarre</t>
  </si>
  <si>
    <t>ybarre</t>
  </si>
  <si>
    <t>somme xi^2</t>
  </si>
  <si>
    <t>somme xi*yi</t>
  </si>
  <si>
    <t>beta1</t>
  </si>
  <si>
    <t>beta0</t>
  </si>
  <si>
    <t>somme ssr</t>
  </si>
  <si>
    <t>r2</t>
  </si>
  <si>
    <t>xi^2</t>
  </si>
  <si>
    <t>xi*yi</t>
  </si>
  <si>
    <t>y^t</t>
  </si>
  <si>
    <t>epsilone^2</t>
  </si>
  <si>
    <t>i)</t>
  </si>
  <si>
    <t>xt-xbarre^2</t>
  </si>
  <si>
    <t>Somme SST</t>
  </si>
  <si>
    <t>SST</t>
  </si>
  <si>
    <t>SSR</t>
  </si>
  <si>
    <t>variance epsi</t>
  </si>
  <si>
    <t>SSE</t>
  </si>
  <si>
    <t>somme xt-xbarre</t>
  </si>
  <si>
    <t>covariance beta0 et beta1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</si>
</sst>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P25"/>
  <sheetViews>
    <sheetView tabSelected="1" topLeftCell="C13" workbookViewId="0">
      <selection activeCell="E25" sqref="E25"/>
    </sheetView>
  </sheetViews>
  <sheetFormatPr defaultRowHeight="15" x14ac:dyDescent="0.25"/>
  <cols>
    <col min="6" max="6" width="27.75" bestFit="1" customWidth="1"/>
    <col min="7" max="7" width="10.875" customWidth="1"/>
    <col min="12" max="12" width="10.625" customWidth="1"/>
    <col min="13" max="13" width="12" bestFit="1" customWidth="1"/>
    <col min="14" max="14" width="11.125" bestFit="1" customWidth="1"/>
  </cols>
  <sheetData>
    <row r="3" spans="2:16" x14ac:dyDescent="0.25">
      <c r="B3" t="s">
        <v>0</v>
      </c>
      <c r="C3" t="s">
        <v>1</v>
      </c>
      <c r="D3" t="s">
        <v>2</v>
      </c>
      <c r="F3" t="s">
        <v>3</v>
      </c>
      <c r="G3">
        <f>COUNT(B4:B17)</f>
        <v>14</v>
      </c>
      <c r="I3" t="s">
        <v>12</v>
      </c>
      <c r="J3" t="s">
        <v>13</v>
      </c>
      <c r="L3" t="s">
        <v>14</v>
      </c>
      <c r="M3" t="s">
        <v>15</v>
      </c>
      <c r="N3" t="s">
        <v>17</v>
      </c>
      <c r="O3" t="s">
        <v>19</v>
      </c>
      <c r="P3" t="s">
        <v>20</v>
      </c>
    </row>
    <row r="4" spans="2:16" x14ac:dyDescent="0.25">
      <c r="B4">
        <v>1</v>
      </c>
      <c r="C4">
        <v>55</v>
      </c>
      <c r="D4">
        <v>16.2</v>
      </c>
      <c r="F4" t="s">
        <v>4</v>
      </c>
      <c r="G4">
        <f>SUM(xt)/n</f>
        <v>29.792857142857144</v>
      </c>
      <c r="I4">
        <f t="shared" ref="I4:I17" si="0">xt^2</f>
        <v>3025</v>
      </c>
      <c r="J4">
        <f t="shared" ref="J4:J17" si="1">xt*yt</f>
        <v>891</v>
      </c>
      <c r="L4">
        <f t="shared" ref="L4:L17" si="2">beta0+beta1*xt</f>
        <v>21.052832450422848</v>
      </c>
      <c r="M4">
        <f t="shared" ref="M4:M17" si="3">(y_t-yt)^2</f>
        <v>23.549982791877028</v>
      </c>
      <c r="N4">
        <f t="shared" ref="N4:N17" si="4">(xt-xbarre)^2</f>
        <v>635.40005102040811</v>
      </c>
      <c r="O4">
        <f t="shared" ref="O4:O17" si="5">(yt-ybarre)^2</f>
        <v>222.22290816326534</v>
      </c>
      <c r="P4">
        <f t="shared" ref="P4:P17" si="6">(y_t-ybarre)^2</f>
        <v>101.08915775467828</v>
      </c>
    </row>
    <row r="5" spans="2:16" x14ac:dyDescent="0.25">
      <c r="B5">
        <v>2</v>
      </c>
      <c r="C5">
        <v>27.3</v>
      </c>
      <c r="D5">
        <v>30.5</v>
      </c>
      <c r="F5" t="s">
        <v>5</v>
      </c>
      <c r="G5">
        <f>SUM(yt)/n</f>
        <v>31.107142857142858</v>
      </c>
      <c r="I5">
        <f t="shared" si="0"/>
        <v>745.29000000000008</v>
      </c>
      <c r="J5">
        <f t="shared" si="1"/>
        <v>832.65</v>
      </c>
      <c r="L5">
        <f t="shared" si="2"/>
        <v>32.101462588496013</v>
      </c>
      <c r="M5">
        <f t="shared" si="3"/>
        <v>2.5646824223523486</v>
      </c>
      <c r="N5">
        <f t="shared" si="4"/>
        <v>6.214336734693882</v>
      </c>
      <c r="O5">
        <f t="shared" si="5"/>
        <v>0.36862244897959245</v>
      </c>
      <c r="P5">
        <f t="shared" si="6"/>
        <v>0.98867172815821014</v>
      </c>
    </row>
    <row r="6" spans="2:16" x14ac:dyDescent="0.25">
      <c r="B6">
        <v>3</v>
      </c>
      <c r="C6">
        <v>33.299999999999997</v>
      </c>
      <c r="D6">
        <v>16.899999999999999</v>
      </c>
      <c r="F6" t="s">
        <v>6</v>
      </c>
      <c r="G6">
        <f>SUM(xi_2)</f>
        <v>15577.57</v>
      </c>
      <c r="I6">
        <f t="shared" si="0"/>
        <v>1108.8899999999999</v>
      </c>
      <c r="J6">
        <f t="shared" si="1"/>
        <v>562.76999999999987</v>
      </c>
      <c r="L6">
        <f t="shared" si="2"/>
        <v>29.708257504436844</v>
      </c>
      <c r="M6">
        <f t="shared" si="3"/>
        <v>164.05146029996277</v>
      </c>
      <c r="N6">
        <f t="shared" si="4"/>
        <v>12.300051020408132</v>
      </c>
      <c r="O6">
        <f t="shared" si="5"/>
        <v>201.84290816326535</v>
      </c>
      <c r="P6">
        <f t="shared" si="6"/>
        <v>1.9568802300154282</v>
      </c>
    </row>
    <row r="7" spans="2:16" x14ac:dyDescent="0.25">
      <c r="B7">
        <v>4</v>
      </c>
      <c r="C7">
        <v>56.5</v>
      </c>
      <c r="D7">
        <v>16</v>
      </c>
      <c r="F7" t="s">
        <v>7</v>
      </c>
      <c r="G7">
        <f>SUM(xi_yi)</f>
        <v>11717.970000000001</v>
      </c>
      <c r="I7">
        <f t="shared" si="0"/>
        <v>3192.25</v>
      </c>
      <c r="J7">
        <f t="shared" si="1"/>
        <v>904</v>
      </c>
      <c r="L7">
        <f t="shared" si="2"/>
        <v>20.454531179408054</v>
      </c>
      <c r="M7">
        <f t="shared" si="3"/>
        <v>19.842848028318507</v>
      </c>
      <c r="N7">
        <f t="shared" si="4"/>
        <v>713.27147959183662</v>
      </c>
      <c r="O7">
        <f t="shared" si="5"/>
        <v>228.22576530612247</v>
      </c>
      <c r="P7">
        <f t="shared" si="6"/>
        <v>113.4781355566119</v>
      </c>
    </row>
    <row r="8" spans="2:16" x14ac:dyDescent="0.25">
      <c r="B8">
        <v>5</v>
      </c>
      <c r="C8">
        <v>11.5</v>
      </c>
      <c r="D8">
        <v>40.200000000000003</v>
      </c>
      <c r="F8" t="s">
        <v>8</v>
      </c>
      <c r="G8">
        <f>(somme_xi_yi-n*xbarre*ybarre) / (somme_xi_2 - n*xbarre^2)</f>
        <v>-0.39886751400986165</v>
      </c>
      <c r="I8">
        <f t="shared" si="0"/>
        <v>132.25</v>
      </c>
      <c r="J8">
        <f t="shared" si="1"/>
        <v>462.3</v>
      </c>
      <c r="L8">
        <f t="shared" si="2"/>
        <v>38.403569309851825</v>
      </c>
      <c r="M8">
        <f t="shared" si="3"/>
        <v>3.227163224506258</v>
      </c>
      <c r="N8">
        <f t="shared" si="4"/>
        <v>334.62862244897963</v>
      </c>
      <c r="O8">
        <f t="shared" si="5"/>
        <v>82.6800510204082</v>
      </c>
      <c r="P8">
        <f t="shared" si="6"/>
        <v>53.237838979791164</v>
      </c>
    </row>
    <row r="9" spans="2:16" x14ac:dyDescent="0.25">
      <c r="B9">
        <v>6</v>
      </c>
      <c r="C9">
        <v>14.2</v>
      </c>
      <c r="D9">
        <v>38.4</v>
      </c>
      <c r="F9" t="s">
        <v>9</v>
      </c>
      <c r="G9">
        <f>ybarre-beta1*xbarre</f>
        <v>42.990545720965237</v>
      </c>
      <c r="I9">
        <f t="shared" si="0"/>
        <v>201.64</v>
      </c>
      <c r="J9">
        <f t="shared" si="1"/>
        <v>545.28</v>
      </c>
      <c r="L9">
        <f t="shared" si="2"/>
        <v>37.3266270220252</v>
      </c>
      <c r="M9">
        <f t="shared" si="3"/>
        <v>1.1521295498464881</v>
      </c>
      <c r="N9">
        <f t="shared" si="4"/>
        <v>243.13719387755108</v>
      </c>
      <c r="O9">
        <f t="shared" si="5"/>
        <v>53.18576530612242</v>
      </c>
      <c r="P9">
        <f t="shared" si="6"/>
        <v>38.681983277222201</v>
      </c>
    </row>
    <row r="10" spans="2:16" x14ac:dyDescent="0.25">
      <c r="B10">
        <v>7</v>
      </c>
      <c r="C10">
        <v>13.9</v>
      </c>
      <c r="D10">
        <v>41.3</v>
      </c>
      <c r="F10" t="s">
        <v>18</v>
      </c>
      <c r="G10">
        <f>SUM(SST)</f>
        <v>1299.149285714286</v>
      </c>
      <c r="I10">
        <f t="shared" si="0"/>
        <v>193.21</v>
      </c>
      <c r="J10">
        <f t="shared" si="1"/>
        <v>574.06999999999994</v>
      </c>
      <c r="L10">
        <f t="shared" si="2"/>
        <v>37.446287276228162</v>
      </c>
      <c r="M10">
        <f t="shared" si="3"/>
        <v>14.851101757360937</v>
      </c>
      <c r="N10">
        <f t="shared" si="4"/>
        <v>252.58290816326536</v>
      </c>
      <c r="O10">
        <f t="shared" si="5"/>
        <v>103.89433673469381</v>
      </c>
      <c r="P10">
        <f t="shared" si="6"/>
        <v>40.184751966020357</v>
      </c>
    </row>
    <row r="11" spans="2:16" x14ac:dyDescent="0.25">
      <c r="B11">
        <v>8</v>
      </c>
      <c r="C11">
        <v>19</v>
      </c>
      <c r="D11">
        <v>43.9</v>
      </c>
      <c r="F11" t="s">
        <v>10</v>
      </c>
      <c r="G11">
        <f>SUM(SSR)</f>
        <v>501.30438405250754</v>
      </c>
      <c r="I11">
        <f t="shared" si="0"/>
        <v>361</v>
      </c>
      <c r="J11">
        <f t="shared" si="1"/>
        <v>834.1</v>
      </c>
      <c r="L11">
        <f t="shared" si="2"/>
        <v>35.412062954777866</v>
      </c>
      <c r="M11">
        <f t="shared" si="3"/>
        <v>72.045075283654228</v>
      </c>
      <c r="N11">
        <f t="shared" si="4"/>
        <v>116.48576530612249</v>
      </c>
      <c r="O11">
        <f t="shared" si="5"/>
        <v>163.65719387755098</v>
      </c>
      <c r="P11">
        <f t="shared" si="6"/>
        <v>18.532337047021812</v>
      </c>
    </row>
    <row r="12" spans="2:16" x14ac:dyDescent="0.25">
      <c r="B12">
        <v>9</v>
      </c>
      <c r="C12">
        <v>33.1</v>
      </c>
      <c r="D12">
        <v>28.3</v>
      </c>
      <c r="F12" t="s">
        <v>11</v>
      </c>
      <c r="G12">
        <f>somme_ssr/Somme_SST</f>
        <v>0.38587126942604222</v>
      </c>
      <c r="I12">
        <f t="shared" si="0"/>
        <v>1095.6100000000001</v>
      </c>
      <c r="J12">
        <f t="shared" si="1"/>
        <v>936.73</v>
      </c>
      <c r="L12">
        <f t="shared" si="2"/>
        <v>29.788031007238814</v>
      </c>
      <c r="M12">
        <f t="shared" si="3"/>
        <v>2.2142362785041576</v>
      </c>
      <c r="N12">
        <f t="shared" si="4"/>
        <v>10.937193877551019</v>
      </c>
      <c r="O12">
        <f t="shared" si="5"/>
        <v>7.8800510204081622</v>
      </c>
      <c r="P12">
        <f t="shared" si="6"/>
        <v>1.7400560725572678</v>
      </c>
    </row>
    <row r="13" spans="2:16" x14ac:dyDescent="0.25">
      <c r="B13">
        <v>10</v>
      </c>
      <c r="C13">
        <v>43.2</v>
      </c>
      <c r="D13">
        <v>33.9</v>
      </c>
      <c r="F13" t="s">
        <v>22</v>
      </c>
      <c r="G13">
        <f>Somme_SST-somme_ssr</f>
        <v>797.84490166177841</v>
      </c>
      <c r="I13">
        <f t="shared" si="0"/>
        <v>1866.2400000000002</v>
      </c>
      <c r="J13">
        <f t="shared" si="1"/>
        <v>1464.48</v>
      </c>
      <c r="L13">
        <f t="shared" si="2"/>
        <v>25.759469115739211</v>
      </c>
      <c r="M13">
        <f t="shared" si="3"/>
        <v>66.268243077603714</v>
      </c>
      <c r="N13">
        <f t="shared" si="4"/>
        <v>179.75147959183676</v>
      </c>
      <c r="O13">
        <f t="shared" si="5"/>
        <v>7.8000510204081523</v>
      </c>
      <c r="P13">
        <f t="shared" si="6"/>
        <v>28.597614444498074</v>
      </c>
    </row>
    <row r="14" spans="2:16" x14ac:dyDescent="0.25">
      <c r="B14">
        <v>11</v>
      </c>
      <c r="C14">
        <v>28.5</v>
      </c>
      <c r="D14">
        <v>44.2</v>
      </c>
      <c r="F14" t="s">
        <v>21</v>
      </c>
      <c r="G14">
        <f>G13/(n-1)</f>
        <v>61.372684743213725</v>
      </c>
      <c r="I14">
        <f t="shared" si="0"/>
        <v>812.25</v>
      </c>
      <c r="J14">
        <f t="shared" si="1"/>
        <v>1259.7</v>
      </c>
      <c r="L14">
        <f t="shared" si="2"/>
        <v>31.622821571684177</v>
      </c>
      <c r="M14">
        <f t="shared" si="3"/>
        <v>158.18541721769293</v>
      </c>
      <c r="N14">
        <f t="shared" si="4"/>
        <v>1.6714795918367389</v>
      </c>
      <c r="O14">
        <f t="shared" si="5"/>
        <v>171.42290816326536</v>
      </c>
      <c r="P14">
        <f t="shared" si="6"/>
        <v>0.26592453663098792</v>
      </c>
    </row>
    <row r="15" spans="2:16" x14ac:dyDescent="0.25">
      <c r="B15">
        <v>12</v>
      </c>
      <c r="C15">
        <v>6.8</v>
      </c>
      <c r="D15">
        <v>24.6</v>
      </c>
      <c r="F15" t="s">
        <v>23</v>
      </c>
      <c r="G15">
        <f>SUM(xt_xbarre_2)</f>
        <v>3150.9692857142863</v>
      </c>
      <c r="I15">
        <f t="shared" si="0"/>
        <v>46.239999999999995</v>
      </c>
      <c r="J15">
        <f t="shared" si="1"/>
        <v>167.28</v>
      </c>
      <c r="L15">
        <f t="shared" si="2"/>
        <v>40.278246625698181</v>
      </c>
      <c r="M15">
        <f t="shared" si="3"/>
        <v>245.80741725621635</v>
      </c>
      <c r="N15">
        <f t="shared" si="4"/>
        <v>528.67147959183683</v>
      </c>
      <c r="O15">
        <f t="shared" si="5"/>
        <v>42.342908163265292</v>
      </c>
      <c r="P15">
        <f t="shared" si="6"/>
        <v>84.109144333609649</v>
      </c>
    </row>
    <row r="16" spans="2:16" x14ac:dyDescent="0.25">
      <c r="B16">
        <v>13</v>
      </c>
      <c r="C16">
        <v>37.700000000000003</v>
      </c>
      <c r="D16">
        <v>28</v>
      </c>
      <c r="I16">
        <f t="shared" si="0"/>
        <v>1421.2900000000002</v>
      </c>
      <c r="J16">
        <f t="shared" si="1"/>
        <v>1055.6000000000001</v>
      </c>
      <c r="L16">
        <f t="shared" si="2"/>
        <v>27.953240442793451</v>
      </c>
      <c r="M16">
        <f t="shared" si="3"/>
        <v>2.1864561901525398E-3</v>
      </c>
      <c r="N16">
        <f t="shared" si="4"/>
        <v>62.522908163265328</v>
      </c>
      <c r="O16">
        <f t="shared" si="5"/>
        <v>9.6543367346938815</v>
      </c>
      <c r="P16">
        <f t="shared" si="6"/>
        <v>9.9471004392390174</v>
      </c>
    </row>
    <row r="17" spans="2:16" x14ac:dyDescent="0.25">
      <c r="B17">
        <v>14</v>
      </c>
      <c r="C17">
        <v>37.1</v>
      </c>
      <c r="D17">
        <v>33.1</v>
      </c>
      <c r="I17">
        <f t="shared" si="0"/>
        <v>1376.41</v>
      </c>
      <c r="J17">
        <f t="shared" si="1"/>
        <v>1228.01</v>
      </c>
      <c r="L17">
        <f t="shared" si="2"/>
        <v>28.192560951199368</v>
      </c>
      <c r="M17">
        <f t="shared" si="3"/>
        <v>24.082958017693262</v>
      </c>
      <c r="N17">
        <f t="shared" si="4"/>
        <v>53.394336734693873</v>
      </c>
      <c r="O17">
        <f t="shared" si="5"/>
        <v>3.9714795918367383</v>
      </c>
      <c r="P17">
        <f t="shared" si="6"/>
        <v>8.4947876864531828</v>
      </c>
    </row>
    <row r="23" spans="2:16" x14ac:dyDescent="0.25">
      <c r="D23" t="s">
        <v>8</v>
      </c>
      <c r="E23" t="s">
        <v>9</v>
      </c>
      <c r="G23" t="s">
        <v>24</v>
      </c>
    </row>
    <row r="24" spans="2:16" x14ac:dyDescent="0.25">
      <c r="C24" t="s">
        <v>16</v>
      </c>
      <c r="D24">
        <f>G14/G15</f>
        <v>1.9477398596508783E-2</v>
      </c>
      <c r="E24">
        <f xml:space="preserve"> (G14/n) + (xbarre^2 * D24)</f>
        <v>21.67218143250124</v>
      </c>
      <c r="G24">
        <f>-xbarre * D24</f>
        <v>-0.58028735390027242</v>
      </c>
    </row>
    <row r="25" spans="2:16" x14ac:dyDescent="0.25">
      <c r="D25">
        <f>SQRT(D24)</f>
        <v>0.1395614509687714</v>
      </c>
      <c r="E25">
        <f>SQRT(E24)</f>
        <v>4.6553390244429291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Sheet1</vt:lpstr>
      <vt:lpstr>_r2</vt:lpstr>
      <vt:lpstr>beta0</vt:lpstr>
      <vt:lpstr>beta1</vt:lpstr>
      <vt:lpstr>Ei_Ebarre</vt:lpstr>
      <vt:lpstr>epsilone_2</vt:lpstr>
      <vt:lpstr>n</vt:lpstr>
      <vt:lpstr>residut</vt:lpstr>
      <vt:lpstr>somme_ssr</vt:lpstr>
      <vt:lpstr>Somme_SST</vt:lpstr>
      <vt:lpstr>somme_xi_2</vt:lpstr>
      <vt:lpstr>somme_xi_yi</vt:lpstr>
      <vt:lpstr>SSR</vt:lpstr>
      <vt:lpstr>SST</vt:lpstr>
      <vt:lpstr>xbarre</vt:lpstr>
      <vt:lpstr>xi_2</vt:lpstr>
      <vt:lpstr>xi_yi</vt:lpstr>
      <vt:lpstr>xt</vt:lpstr>
      <vt:lpstr>xt_xbarre_2</vt:lpstr>
      <vt:lpstr>y_t</vt:lpstr>
      <vt:lpstr>ybarre</vt:lpstr>
      <vt:lpstr>yt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 Beauchemin</cp:lastModifiedBy>
  <dcterms:created xsi:type="dcterms:W3CDTF">2016-09-29T14:26:33Z</dcterms:created>
  <dcterms:modified xsi:type="dcterms:W3CDTF">2016-09-29T23:19:15Z</dcterms:modified>
</cp:coreProperties>
</file>